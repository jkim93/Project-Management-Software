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45" windowWidth="20115" windowHeight="7965"/>
  </bookViews>
  <sheets>
    <sheet name="Welcome" sheetId="4" r:id="rId1"/>
    <sheet name="Input" sheetId="5" state="hidden" r:id="rId2"/>
    <sheet name="Calculations" sheetId="6" state="hidden" r:id="rId3"/>
    <sheet name="Output" sheetId="7" state="hidden" r:id="rId4"/>
    <sheet name="SolverTable" sheetId="8" state="hidden" r:id="rId5"/>
    <sheet name="Main Table" sheetId="9" r:id="rId6"/>
  </sheets>
  <functionGroups builtInGroupCount="17"/>
  <definedNames>
    <definedName name="activities_1" localSheetId="5">'Main Table'!$A$1:$H$8</definedName>
    <definedName name="activities_2" localSheetId="5">'Main Table'!$A$1:$H$8</definedName>
    <definedName name="activities_3" localSheetId="5">'Main Table'!$A$1:$H$8</definedName>
    <definedName name="activities_4" localSheetId="5">'Main Table'!$A$1:$H$8</definedName>
    <definedName name="activities_5" localSheetId="5">'Main Table'!$A$1:$H$8</definedName>
    <definedName name="activities_6" localSheetId="5">'Main Table'!$A$1:$H$8</definedName>
    <definedName name="DecVar">SolverTable!$E$2:$V$2</definedName>
    <definedName name="LHS">SolverTable!$X$3:$X$11</definedName>
    <definedName name="ObjVal">SolverTable!$X$2</definedName>
    <definedName name="ProjComp">SolverTable!$V$2</definedName>
    <definedName name="Ptable">'Main Table'!$A$2:$A$8</definedName>
    <definedName name="RHS">SolverTable!$Z$3:$Z$11</definedName>
    <definedName name="Sheet1_5" localSheetId="5">'Main Table'!$A$1:$H$8</definedName>
    <definedName name="solver_adj" localSheetId="4" hidden="1">SolverTable!$E$2:$V$2</definedName>
    <definedName name="solver_eng" localSheetId="4" hidden="1">1</definedName>
    <definedName name="solver_lhs1" localSheetId="4" hidden="1">SolverTable!$X$3:$X$11</definedName>
    <definedName name="solver_lhs2" localSheetId="4" hidden="1">SolverTable!$V$2</definedName>
    <definedName name="solver_lin" localSheetId="4" hidden="1">1</definedName>
    <definedName name="solver_neg" localSheetId="4" hidden="1">1</definedName>
    <definedName name="solver_num" localSheetId="4" hidden="1">2</definedName>
    <definedName name="solver_opt" localSheetId="4" hidden="1">SolverTable!$X$2</definedName>
    <definedName name="solver_rel1" localSheetId="4" hidden="1">3</definedName>
    <definedName name="solver_rel2" localSheetId="4" hidden="1">1</definedName>
    <definedName name="solver_rhs1" localSheetId="4" hidden="1">SolverTable!$Z$3:$Z$11</definedName>
    <definedName name="solver_rhs2" localSheetId="4" hidden="1">0</definedName>
    <definedName name="solver_typ" localSheetId="4" hidden="1">1</definedName>
    <definedName name="solver_val" localSheetId="4" hidden="1">0</definedName>
    <definedName name="solver_ver" localSheetId="4" hidden="1">3</definedName>
    <definedName name="STable">'Main Table'!$A$2:$B$8</definedName>
  </definedNames>
  <calcPr calcId="144525"/>
  <fileRecoveryPr repairLoad="1"/>
</workbook>
</file>

<file path=xl/calcChain.xml><?xml version="1.0" encoding="utf-8"?>
<calcChain xmlns="http://schemas.openxmlformats.org/spreadsheetml/2006/main">
  <c r="Z11" i="8" l="1"/>
  <c r="X11" i="8"/>
  <c r="Z10" i="8"/>
  <c r="X10" i="8"/>
  <c r="Z9" i="8"/>
  <c r="X9" i="8"/>
  <c r="Z8" i="8"/>
  <c r="X8" i="8"/>
  <c r="Z7" i="8"/>
  <c r="X7" i="8"/>
  <c r="Z6" i="8"/>
  <c r="X6" i="8"/>
  <c r="Z5" i="8"/>
  <c r="X5" i="8"/>
  <c r="Z4" i="8"/>
  <c r="X4" i="8"/>
  <c r="Z3" i="8"/>
  <c r="X3" i="8"/>
  <c r="X2" i="8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www.seref.bit.vt.edu/MainTable.htm" htmlTables="1">
      <tables count="1">
        <x v="1"/>
      </tables>
    </webPr>
  </connection>
  <connection id="2" name="demoinput" type="6" refreshedVersion="4" background="1" saveData="1">
    <textPr prompt="0" sourceFile="C:\Users\Gabe\Documents\Gabe Files\VT\Junior Fall\BIT 3424\demoinput.txt">
      <textFields>
        <textField/>
      </textFields>
    </textPr>
  </connection>
  <connection id="3" name="demoinput1" type="6" refreshedVersion="4" background="1" saveData="1">
    <textPr prompt="0" sourceFile="C:\Users\Gabe\Documents\Gabe Files\VT\Junior Fall\BIT 3424\demoinput.txt">
      <textFields>
        <textField/>
      </textFields>
    </textPr>
  </connection>
  <connection id="4" name="demoinput2" type="6" refreshedVersion="4" background="1" saveData="1">
    <textPr prompt="0" sourceFile="C:\Users\Gabe\Documents\Gabe Files\VT\Junior Fall\BIT 3424\demoinput.txt">
      <textFields>
        <textField/>
      </textFields>
    </textPr>
  </connection>
  <connection id="5" name="demoinput3" type="6" refreshedVersion="4" background="1" saveData="1">
    <textPr prompt="0" sourceFile="C:\Users\Gabe\Documents\Gabe Files\VT\Junior Fall\BIT 3424\demoinput.txt">
      <textFields>
        <textField/>
      </textFields>
    </textPr>
  </connection>
  <connection id="6" name="demoinput4" type="6" refreshedVersion="4" background="1" saveData="1">
    <textPr prompt="0" sourceFile="C:\Users\Gabe\Documents\Gabe Files\VT\Junior Fall\BIT 3424\demoinput.txt">
      <textFields>
        <textField/>
      </textFields>
    </textPr>
  </connection>
  <connection id="7" name="demoinput5" type="6" refreshedVersion="4" background="1" saveData="1">
    <textPr prompt="0" sourceFile="C:\Users\Gabe\Documents\Gabe Files\VT\Junior Fall\BIT 3424\demoinput.txt">
      <textFields>
        <textField/>
      </textFields>
    </textPr>
  </connection>
</connections>
</file>

<file path=xl/sharedStrings.xml><?xml version="1.0" encoding="utf-8"?>
<sst xmlns="http://schemas.openxmlformats.org/spreadsheetml/2006/main" count="65" uniqueCount="31">
  <si>
    <t>Activities</t>
  </si>
  <si>
    <t>Earliest Times</t>
  </si>
  <si>
    <t>Latest Times</t>
  </si>
  <si>
    <t>Critical</t>
  </si>
  <si>
    <t>Solution Table</t>
  </si>
  <si>
    <t>Activity</t>
  </si>
  <si>
    <t>ID</t>
  </si>
  <si>
    <t>Description</t>
  </si>
  <si>
    <t>Predecessors</t>
  </si>
  <si>
    <t>Time (m)</t>
  </si>
  <si>
    <t>Time (a)</t>
  </si>
  <si>
    <t>Time (b)</t>
  </si>
  <si>
    <t>Cost (m)</t>
  </si>
  <si>
    <t>Cost (a)</t>
  </si>
  <si>
    <t>Activity 1</t>
  </si>
  <si>
    <t>-</t>
  </si>
  <si>
    <t>Activity 2</t>
  </si>
  <si>
    <t>Activity 3</t>
  </si>
  <si>
    <t>Activity 4</t>
  </si>
  <si>
    <t>Activity 5</t>
  </si>
  <si>
    <t>2, 3</t>
  </si>
  <si>
    <t>Activity 6</t>
  </si>
  <si>
    <t>Activity 7</t>
  </si>
  <si>
    <t>4, 5</t>
  </si>
  <si>
    <t>AOA Arcs Table</t>
  </si>
  <si>
    <t>Begin</t>
  </si>
  <si>
    <t>End</t>
  </si>
  <si>
    <t>Time</t>
  </si>
  <si>
    <t>&gt;=</t>
  </si>
  <si>
    <t>AOA Nodes Table</t>
  </si>
  <si>
    <t>i8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</si>
</sst>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92D05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A6A6A6"/>
      </left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 style="medium">
        <color rgb="FFA6A6A6"/>
      </left>
      <right style="medium">
        <color rgb="FFA6A6A6"/>
      </right>
      <top/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3" fillId="5" borderId="9" xfId="0" applyFont="1" applyFill="1" applyBorder="1" applyAlignment="1">
      <alignment horizontal="right" vertical="center"/>
    </xf>
    <xf numFmtId="0" fontId="2" fillId="0" borderId="9" xfId="0" applyFont="1" applyBorder="1" applyAlignment="1">
      <alignment vertical="center"/>
    </xf>
    <xf numFmtId="0" fontId="4" fillId="6" borderId="9" xfId="0" applyFont="1" applyFill="1" applyBorder="1" applyAlignment="1">
      <alignment horizontal="right" vertical="center"/>
    </xf>
    <xf numFmtId="0" fontId="2" fillId="0" borderId="5" xfId="0" applyFont="1" applyBorder="1" applyAlignment="1">
      <alignment vertical="center"/>
    </xf>
    <xf numFmtId="0" fontId="0" fillId="0" borderId="0" xfId="0" applyAlignment="1">
      <alignment horizontal="left"/>
    </xf>
    <xf numFmtId="0" fontId="2" fillId="0" borderId="4" xfId="0" applyFont="1" applyBorder="1" applyAlignment="1">
      <alignment vertical="center"/>
    </xf>
    <xf numFmtId="0" fontId="0" fillId="0" borderId="10" xfId="0" applyBorder="1" applyAlignment="1">
      <alignment horizontal="left"/>
    </xf>
    <xf numFmtId="0" fontId="0" fillId="7" borderId="10" xfId="0" applyFill="1" applyBorder="1" applyAlignment="1">
      <alignment horizontal="left"/>
    </xf>
    <xf numFmtId="0" fontId="0" fillId="0" borderId="0" xfId="0" applyFill="1"/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2" borderId="0" xfId="0" applyFill="1" applyAlignment="1">
      <alignment horizontal="left"/>
    </xf>
    <xf numFmtId="0" fontId="0" fillId="0" borderId="10" xfId="0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7</xdr:row>
          <xdr:rowOff>85725</xdr:rowOff>
        </xdr:from>
        <xdr:to>
          <xdr:col>11</xdr:col>
          <xdr:colOff>571500</xdr:colOff>
          <xdr:row>10</xdr:row>
          <xdr:rowOff>161925</xdr:rowOff>
        </xdr:to>
        <xdr:sp macro="" textlink="">
          <xdr:nvSpPr>
            <xdr:cNvPr id="2049" name="cmdBe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12</xdr:row>
          <xdr:rowOff>152400</xdr:rowOff>
        </xdr:from>
        <xdr:to>
          <xdr:col>6</xdr:col>
          <xdr:colOff>600075</xdr:colOff>
          <xdr:row>15</xdr:row>
          <xdr:rowOff>180975</xdr:rowOff>
        </xdr:to>
        <xdr:sp macro="" textlink="">
          <xdr:nvSpPr>
            <xdr:cNvPr id="2053" name="cmdStar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</xdr:row>
          <xdr:rowOff>38100</xdr:rowOff>
        </xdr:from>
        <xdr:to>
          <xdr:col>11</xdr:col>
          <xdr:colOff>19050</xdr:colOff>
          <xdr:row>8</xdr:row>
          <xdr:rowOff>9525</xdr:rowOff>
        </xdr:to>
        <xdr:sp macro="" textlink="">
          <xdr:nvSpPr>
            <xdr:cNvPr id="3073" name="cmdExi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</xdr:row>
          <xdr:rowOff>28575</xdr:rowOff>
        </xdr:from>
        <xdr:to>
          <xdr:col>11</xdr:col>
          <xdr:colOff>28575</xdr:colOff>
          <xdr:row>3</xdr:row>
          <xdr:rowOff>0</xdr:rowOff>
        </xdr:to>
        <xdr:sp macro="" textlink="">
          <xdr:nvSpPr>
            <xdr:cNvPr id="3074" name="cmdNex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</xdr:row>
          <xdr:rowOff>114300</xdr:rowOff>
        </xdr:from>
        <xdr:to>
          <xdr:col>11</xdr:col>
          <xdr:colOff>28575</xdr:colOff>
          <xdr:row>5</xdr:row>
          <xdr:rowOff>95250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3</xdr:row>
          <xdr:rowOff>95250</xdr:rowOff>
        </xdr:from>
        <xdr:to>
          <xdr:col>11</xdr:col>
          <xdr:colOff>428625</xdr:colOff>
          <xdr:row>5</xdr:row>
          <xdr:rowOff>85725</xdr:rowOff>
        </xdr:to>
        <xdr:sp macro="" textlink="">
          <xdr:nvSpPr>
            <xdr:cNvPr id="4097" name="cmdExit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9525</xdr:rowOff>
        </xdr:from>
        <xdr:to>
          <xdr:col>11</xdr:col>
          <xdr:colOff>438150</xdr:colOff>
          <xdr:row>3</xdr:row>
          <xdr:rowOff>0</xdr:rowOff>
        </xdr:to>
        <xdr:sp macro="" textlink="">
          <xdr:nvSpPr>
            <xdr:cNvPr id="4098" name="cmdNext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8</xdr:row>
      <xdr:rowOff>9525</xdr:rowOff>
    </xdr:from>
    <xdr:to>
      <xdr:col>11</xdr:col>
      <xdr:colOff>447675</xdr:colOff>
      <xdr:row>11</xdr:row>
      <xdr:rowOff>47164</xdr:rowOff>
    </xdr:to>
    <xdr:sp macro="[0]!MainAONarcs" textlink="">
      <xdr:nvSpPr>
        <xdr:cNvPr id="2" name="Bevel 1"/>
        <xdr:cNvSpPr/>
      </xdr:nvSpPr>
      <xdr:spPr>
        <a:xfrm>
          <a:off x="5486400" y="1533525"/>
          <a:ext cx="1038225" cy="609139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AON</a:t>
          </a:r>
          <a:r>
            <a:rPr lang="en-US" sz="1100" baseline="0"/>
            <a:t>  Arcs Table</a:t>
          </a:r>
          <a:endParaRPr lang="en-US" sz="1100"/>
        </a:p>
      </xdr:txBody>
    </xdr:sp>
    <xdr:clientData/>
  </xdr:twoCellAnchor>
  <xdr:twoCellAnchor>
    <xdr:from>
      <xdr:col>12</xdr:col>
      <xdr:colOff>9525</xdr:colOff>
      <xdr:row>8</xdr:row>
      <xdr:rowOff>19050</xdr:rowOff>
    </xdr:from>
    <xdr:to>
      <xdr:col>13</xdr:col>
      <xdr:colOff>438150</xdr:colOff>
      <xdr:row>11</xdr:row>
      <xdr:rowOff>57150</xdr:rowOff>
    </xdr:to>
    <xdr:sp macro="[0]!MainAONnodes" textlink="">
      <xdr:nvSpPr>
        <xdr:cNvPr id="9" name="Bevel 8"/>
        <xdr:cNvSpPr/>
      </xdr:nvSpPr>
      <xdr:spPr>
        <a:xfrm>
          <a:off x="6696075" y="1543050"/>
          <a:ext cx="1038225" cy="6096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AON  Nodes Table</a:t>
          </a:r>
        </a:p>
      </xdr:txBody>
    </xdr:sp>
    <xdr:clientData/>
  </xdr:twoCellAnchor>
  <xdr:twoCellAnchor>
    <xdr:from>
      <xdr:col>12</xdr:col>
      <xdr:colOff>9525</xdr:colOff>
      <xdr:row>12</xdr:row>
      <xdr:rowOff>19050</xdr:rowOff>
    </xdr:from>
    <xdr:to>
      <xdr:col>13</xdr:col>
      <xdr:colOff>438150</xdr:colOff>
      <xdr:row>15</xdr:row>
      <xdr:rowOff>57150</xdr:rowOff>
    </xdr:to>
    <xdr:sp macro="[0]!MainAOAnodes" textlink="">
      <xdr:nvSpPr>
        <xdr:cNvPr id="12" name="Bevel 11"/>
        <xdr:cNvSpPr/>
      </xdr:nvSpPr>
      <xdr:spPr>
        <a:xfrm>
          <a:off x="6696075" y="2305050"/>
          <a:ext cx="1038225" cy="6096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AOA  Nodes Table</a:t>
          </a:r>
        </a:p>
      </xdr:txBody>
    </xdr:sp>
    <xdr:clientData/>
  </xdr:twoCellAnchor>
  <xdr:twoCellAnchor>
    <xdr:from>
      <xdr:col>10</xdr:col>
      <xdr:colOff>9525</xdr:colOff>
      <xdr:row>12</xdr:row>
      <xdr:rowOff>28575</xdr:rowOff>
    </xdr:from>
    <xdr:to>
      <xdr:col>11</xdr:col>
      <xdr:colOff>438150</xdr:colOff>
      <xdr:row>15</xdr:row>
      <xdr:rowOff>66675</xdr:rowOff>
    </xdr:to>
    <xdr:sp macro="[0]!MainAOAarcs" textlink="">
      <xdr:nvSpPr>
        <xdr:cNvPr id="13" name="Bevel 12"/>
        <xdr:cNvSpPr/>
      </xdr:nvSpPr>
      <xdr:spPr>
        <a:xfrm>
          <a:off x="5476875" y="2314575"/>
          <a:ext cx="1038225" cy="6096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AOA  Arcs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2</xdr:col>
          <xdr:colOff>76200</xdr:colOff>
          <xdr:row>2</xdr:row>
          <xdr:rowOff>38100</xdr:rowOff>
        </xdr:to>
        <xdr:sp macro="" textlink="">
          <xdr:nvSpPr>
            <xdr:cNvPr id="5121" name="cmdExit3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66675</xdr:rowOff>
        </xdr:from>
        <xdr:to>
          <xdr:col>4</xdr:col>
          <xdr:colOff>238125</xdr:colOff>
          <xdr:row>2</xdr:row>
          <xdr:rowOff>38100</xdr:rowOff>
        </xdr:to>
        <xdr:sp macro="" textlink="">
          <xdr:nvSpPr>
            <xdr:cNvPr id="5122" name="cmdNext3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523875</xdr:colOff>
          <xdr:row>8</xdr:row>
          <xdr:rowOff>0</xdr:rowOff>
        </xdr:from>
        <xdr:to>
          <xdr:col>28</xdr:col>
          <xdr:colOff>514350</xdr:colOff>
          <xdr:row>9</xdr:row>
          <xdr:rowOff>180975</xdr:rowOff>
        </xdr:to>
        <xdr:sp macro="" textlink="">
          <xdr:nvSpPr>
            <xdr:cNvPr id="6145" name="cmdExit4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571500</xdr:colOff>
      <xdr:row>0</xdr:row>
      <xdr:rowOff>161925</xdr:rowOff>
    </xdr:from>
    <xdr:to>
      <xdr:col>28</xdr:col>
      <xdr:colOff>438150</xdr:colOff>
      <xdr:row>2</xdr:row>
      <xdr:rowOff>152400</xdr:rowOff>
    </xdr:to>
    <xdr:sp macro="[0]!SolverTable.SolverTable" textlink="">
      <xdr:nvSpPr>
        <xdr:cNvPr id="2" name="Bevel 1"/>
        <xdr:cNvSpPr/>
      </xdr:nvSpPr>
      <xdr:spPr>
        <a:xfrm>
          <a:off x="7810500" y="161925"/>
          <a:ext cx="1085850" cy="3714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Solver Table</a:t>
          </a:r>
        </a:p>
      </xdr:txBody>
    </xdr:sp>
    <xdr:clientData/>
  </xdr:twoCellAnchor>
  <xdr:twoCellAnchor>
    <xdr:from>
      <xdr:col>26</xdr:col>
      <xdr:colOff>561975</xdr:colOff>
      <xdr:row>3</xdr:row>
      <xdr:rowOff>133351</xdr:rowOff>
    </xdr:from>
    <xdr:to>
      <xdr:col>28</xdr:col>
      <xdr:colOff>428625</xdr:colOff>
      <xdr:row>7</xdr:row>
      <xdr:rowOff>28575</xdr:rowOff>
    </xdr:to>
    <xdr:sp macro="[0]!SolveProjectNetwork" textlink="">
      <xdr:nvSpPr>
        <xdr:cNvPr id="6" name="Bevel 5"/>
        <xdr:cNvSpPr/>
      </xdr:nvSpPr>
      <xdr:spPr>
        <a:xfrm>
          <a:off x="7800975" y="704851"/>
          <a:ext cx="1085850" cy="65722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Solve</a:t>
          </a:r>
          <a:r>
            <a:rPr lang="en-US" sz="1100" baseline="0"/>
            <a:t> Solver Table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activities_3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ctivities_2" connectionId="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ctivities_1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ctivities_6" connectionId="7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ctivities_5" connectionId="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heet1_5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ctivities_4" connectionId="5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0"/>
  <sheetViews>
    <sheetView tabSelected="1" workbookViewId="0">
      <selection activeCell="H8" sqref="H8"/>
    </sheetView>
  </sheetViews>
  <sheetFormatPr defaultRowHeight="15" x14ac:dyDescent="0.25"/>
  <cols>
    <col min="1" max="1" width="7.7109375" style="22" customWidth="1"/>
    <col min="2" max="2" width="6" style="22" customWidth="1"/>
    <col min="3" max="3" width="4.28515625" style="22" customWidth="1"/>
    <col min="4" max="16384" width="9.140625" style="1"/>
  </cols>
  <sheetData>
    <row r="1" spans="1:15" x14ac:dyDescent="0.25">
      <c r="A1" s="23" t="s">
        <v>29</v>
      </c>
      <c r="B1" s="23"/>
      <c r="C1" s="23"/>
      <c r="D1"/>
      <c r="E1"/>
      <c r="F1"/>
      <c r="G1"/>
      <c r="H1"/>
      <c r="I1"/>
      <c r="J1"/>
      <c r="K1"/>
      <c r="L1"/>
      <c r="M1"/>
      <c r="N1"/>
      <c r="O1"/>
    </row>
    <row r="2" spans="1:15" x14ac:dyDescent="0.25">
      <c r="A2" s="21" t="s">
        <v>5</v>
      </c>
      <c r="B2" s="21" t="s">
        <v>25</v>
      </c>
      <c r="C2" s="21" t="s">
        <v>26</v>
      </c>
      <c r="D2"/>
      <c r="E2"/>
      <c r="F2"/>
      <c r="G2"/>
      <c r="H2"/>
      <c r="I2"/>
      <c r="J2"/>
      <c r="K2"/>
      <c r="L2"/>
      <c r="M2"/>
      <c r="N2"/>
      <c r="O2"/>
    </row>
    <row r="3" spans="1:15" x14ac:dyDescent="0.25">
      <c r="A3" s="21">
        <v>0</v>
      </c>
      <c r="B3" s="21">
        <v>1</v>
      </c>
      <c r="C3" s="21">
        <v>2</v>
      </c>
      <c r="D3"/>
      <c r="E3"/>
      <c r="F3"/>
      <c r="G3"/>
      <c r="H3"/>
      <c r="I3"/>
      <c r="J3"/>
      <c r="K3"/>
      <c r="L3"/>
      <c r="M3"/>
      <c r="N3"/>
      <c r="O3"/>
    </row>
    <row r="4" spans="1:15" x14ac:dyDescent="0.25">
      <c r="A4" s="21">
        <v>1</v>
      </c>
      <c r="B4" s="21">
        <v>3</v>
      </c>
      <c r="C4" s="21">
        <v>4</v>
      </c>
      <c r="D4"/>
      <c r="E4"/>
      <c r="F4"/>
      <c r="G4"/>
      <c r="H4"/>
      <c r="I4"/>
      <c r="J4"/>
      <c r="K4"/>
      <c r="L4"/>
      <c r="M4"/>
      <c r="N4"/>
      <c r="O4"/>
    </row>
    <row r="5" spans="1:15" x14ac:dyDescent="0.25">
      <c r="A5" s="21">
        <v>2</v>
      </c>
      <c r="B5" s="21">
        <v>5</v>
      </c>
      <c r="C5" s="21">
        <v>6</v>
      </c>
      <c r="D5"/>
      <c r="E5"/>
      <c r="F5"/>
      <c r="G5"/>
      <c r="H5"/>
      <c r="I5"/>
      <c r="J5"/>
      <c r="K5"/>
      <c r="L5"/>
      <c r="M5"/>
      <c r="N5"/>
      <c r="O5"/>
    </row>
    <row r="6" spans="1:15" x14ac:dyDescent="0.25">
      <c r="A6" s="21">
        <v>3</v>
      </c>
      <c r="B6" s="21">
        <v>7</v>
      </c>
      <c r="C6" s="21">
        <v>8</v>
      </c>
      <c r="D6"/>
      <c r="E6"/>
      <c r="F6"/>
      <c r="G6"/>
      <c r="H6"/>
      <c r="I6"/>
      <c r="J6"/>
      <c r="K6"/>
      <c r="L6"/>
      <c r="M6"/>
      <c r="N6"/>
      <c r="O6"/>
    </row>
    <row r="7" spans="1:15" x14ac:dyDescent="0.25">
      <c r="A7" s="21">
        <v>4</v>
      </c>
      <c r="B7" s="21">
        <v>9</v>
      </c>
      <c r="C7" s="21">
        <v>10</v>
      </c>
      <c r="D7"/>
      <c r="E7"/>
      <c r="F7"/>
      <c r="G7"/>
      <c r="H7"/>
      <c r="I7"/>
      <c r="J7"/>
      <c r="K7"/>
      <c r="L7"/>
      <c r="M7"/>
      <c r="N7"/>
      <c r="O7"/>
    </row>
    <row r="8" spans="1:15" x14ac:dyDescent="0.25">
      <c r="A8" s="21">
        <v>5</v>
      </c>
      <c r="B8" s="21">
        <v>11</v>
      </c>
      <c r="C8" s="21">
        <v>12</v>
      </c>
      <c r="D8"/>
      <c r="E8"/>
      <c r="F8"/>
      <c r="G8"/>
      <c r="H8"/>
      <c r="I8"/>
      <c r="J8"/>
      <c r="K8"/>
      <c r="L8"/>
      <c r="M8"/>
      <c r="N8"/>
      <c r="O8"/>
    </row>
    <row r="9" spans="1:15" x14ac:dyDescent="0.25">
      <c r="A9" s="21">
        <v>6</v>
      </c>
      <c r="B9" s="21">
        <v>13</v>
      </c>
      <c r="C9" s="21">
        <v>14</v>
      </c>
      <c r="D9"/>
      <c r="E9"/>
      <c r="F9"/>
      <c r="G9"/>
      <c r="H9"/>
      <c r="I9"/>
      <c r="J9"/>
      <c r="K9"/>
      <c r="L9"/>
      <c r="M9"/>
      <c r="N9"/>
      <c r="O9"/>
    </row>
    <row r="10" spans="1:15" x14ac:dyDescent="0.25">
      <c r="A10" s="21">
        <v>7</v>
      </c>
      <c r="B10" s="21">
        <v>15</v>
      </c>
      <c r="C10" s="21">
        <v>16</v>
      </c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25">
      <c r="A11" s="21"/>
      <c r="B11" s="21"/>
      <c r="C11" s="2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25">
      <c r="A12" s="15"/>
      <c r="B12" s="15"/>
      <c r="C12" s="15"/>
      <c r="D12"/>
      <c r="E12"/>
      <c r="F12"/>
      <c r="G12"/>
      <c r="H12"/>
      <c r="I12"/>
      <c r="J12"/>
      <c r="K12"/>
      <c r="L12"/>
      <c r="M12"/>
      <c r="N12"/>
      <c r="O12"/>
    </row>
    <row r="13" spans="1:15" x14ac:dyDescent="0.25">
      <c r="A13" s="15"/>
      <c r="B13" s="15"/>
      <c r="C13" s="15"/>
      <c r="D13"/>
      <c r="E13"/>
      <c r="F13"/>
      <c r="G13"/>
      <c r="H13"/>
      <c r="I13"/>
      <c r="J13"/>
      <c r="K13"/>
      <c r="L13"/>
      <c r="M13"/>
      <c r="N13"/>
      <c r="O13"/>
    </row>
    <row r="14" spans="1:15" x14ac:dyDescent="0.25">
      <c r="A14" s="15"/>
      <c r="B14" s="15"/>
      <c r="C14" s="15"/>
      <c r="D14"/>
      <c r="E14"/>
      <c r="F14"/>
      <c r="G14"/>
      <c r="H14"/>
      <c r="I14"/>
      <c r="J14"/>
      <c r="K14"/>
      <c r="L14"/>
      <c r="M14"/>
      <c r="N14"/>
      <c r="O14"/>
    </row>
    <row r="15" spans="1:15" x14ac:dyDescent="0.25">
      <c r="A15" s="15"/>
      <c r="B15" s="15"/>
      <c r="C15" s="15"/>
      <c r="D15"/>
      <c r="E15"/>
      <c r="F15"/>
      <c r="G15"/>
      <c r="H15"/>
      <c r="I15"/>
      <c r="J15"/>
      <c r="K15"/>
      <c r="L15"/>
      <c r="M15"/>
      <c r="N15"/>
      <c r="O15"/>
    </row>
    <row r="16" spans="1:15" x14ac:dyDescent="0.25">
      <c r="A16" s="15"/>
      <c r="B16" s="15"/>
      <c r="C16" s="15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 s="15"/>
      <c r="B17" s="15"/>
      <c r="C17" s="15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 s="15"/>
      <c r="B18" s="15"/>
      <c r="C18" s="15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 s="15"/>
      <c r="B19" s="15"/>
      <c r="C19" s="15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 s="15"/>
      <c r="B20" s="15"/>
      <c r="C20" s="15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 s="15"/>
      <c r="B21" s="15"/>
      <c r="C21" s="15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 s="15"/>
      <c r="B22" s="15"/>
      <c r="C22" s="15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 s="15"/>
      <c r="B23" s="15"/>
      <c r="C23" s="15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 s="15"/>
      <c r="B24" s="15"/>
      <c r="C24" s="15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 s="15"/>
      <c r="B25" s="15"/>
      <c r="C25" s="1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 s="15"/>
      <c r="B26" s="15"/>
      <c r="C26" s="15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 s="15"/>
      <c r="B27" s="15"/>
      <c r="C27" s="15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 s="15"/>
      <c r="B28" s="15"/>
      <c r="C28" s="15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 s="15"/>
      <c r="B29" s="15"/>
      <c r="C29" s="15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 s="15"/>
      <c r="B30" s="15"/>
      <c r="C30" s="15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 s="15"/>
      <c r="B31" s="15"/>
      <c r="C31" s="15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 s="15"/>
      <c r="B32" s="15"/>
      <c r="C32" s="15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 s="15"/>
      <c r="B33" s="15"/>
      <c r="C33" s="15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 s="15"/>
      <c r="B34" s="15"/>
      <c r="C34" s="15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 s="15"/>
      <c r="B35" s="15"/>
      <c r="C35" s="1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 s="15"/>
      <c r="B36" s="15"/>
      <c r="C36" s="15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 s="15"/>
      <c r="B37" s="15"/>
      <c r="C37" s="15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 s="15"/>
      <c r="B38" s="15"/>
      <c r="C38" s="15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 s="15"/>
      <c r="B39" s="15"/>
      <c r="C39" s="15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 s="15"/>
      <c r="B40" s="15"/>
      <c r="C40" s="15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 s="15"/>
      <c r="B41" s="15"/>
      <c r="C41" s="15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 s="15"/>
      <c r="B42" s="15"/>
      <c r="C42" s="15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 s="15"/>
      <c r="B43" s="15"/>
      <c r="C43" s="15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 s="15"/>
      <c r="B44" s="15"/>
      <c r="C44" s="15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 s="15"/>
      <c r="B45" s="15"/>
      <c r="C45" s="1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 s="15"/>
      <c r="B46" s="15"/>
      <c r="C46" s="15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 s="15"/>
      <c r="B47" s="15"/>
      <c r="C47" s="15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 s="15"/>
      <c r="B48" s="15"/>
      <c r="C48" s="15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 s="15"/>
      <c r="B49" s="15"/>
      <c r="C49" s="15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 s="15"/>
      <c r="B50" s="15"/>
      <c r="C50" s="15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 s="15"/>
      <c r="B51" s="15"/>
      <c r="C51" s="15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 s="15"/>
      <c r="B52" s="15"/>
      <c r="C52" s="15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 s="15"/>
      <c r="B53" s="15"/>
      <c r="C53" s="15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 s="15"/>
      <c r="B54" s="15"/>
      <c r="C54" s="15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 s="15"/>
      <c r="B55" s="15"/>
      <c r="C55" s="1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 s="15"/>
      <c r="B56" s="15"/>
      <c r="C56" s="15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 s="15"/>
      <c r="B57" s="15"/>
      <c r="C57" s="15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 s="15"/>
      <c r="B58" s="15"/>
      <c r="C58" s="15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 s="15"/>
      <c r="B59" s="15"/>
      <c r="C59" s="15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 s="15"/>
      <c r="B60" s="15"/>
      <c r="C60" s="15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 s="15"/>
      <c r="B61" s="15"/>
      <c r="C61" s="15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 s="15"/>
      <c r="B62" s="15"/>
      <c r="C62" s="15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 s="15"/>
      <c r="B63" s="15"/>
      <c r="C63" s="15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 s="15"/>
      <c r="B64" s="15"/>
      <c r="C64" s="15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 s="15"/>
      <c r="B65" s="15"/>
      <c r="C65" s="1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 s="15"/>
      <c r="B66" s="15"/>
      <c r="C66" s="15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 s="15"/>
      <c r="B67" s="15"/>
      <c r="C67" s="15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 s="15"/>
      <c r="B68" s="15"/>
      <c r="C68" s="15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 s="15"/>
      <c r="B69" s="15"/>
      <c r="C69" s="15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 s="15"/>
      <c r="B70" s="15"/>
      <c r="C70" s="15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 s="15"/>
      <c r="B71" s="15"/>
      <c r="C71" s="15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 s="15"/>
      <c r="B72" s="15"/>
      <c r="C72" s="15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 s="15"/>
      <c r="B73" s="15"/>
      <c r="C73" s="15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 s="15"/>
      <c r="B74" s="15"/>
      <c r="C74" s="15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 s="15"/>
      <c r="B75" s="15"/>
      <c r="C75" s="1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 s="15"/>
      <c r="B76" s="15"/>
      <c r="C76" s="15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 s="15"/>
      <c r="B77" s="15"/>
      <c r="C77" s="15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 s="15"/>
      <c r="B78" s="15"/>
      <c r="C78" s="15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 s="15"/>
      <c r="B79" s="15"/>
      <c r="C79" s="15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 s="15"/>
      <c r="B80" s="15"/>
      <c r="C80" s="15"/>
      <c r="D80"/>
      <c r="E80"/>
      <c r="F80"/>
      <c r="G80"/>
      <c r="H80"/>
      <c r="I80"/>
      <c r="J80"/>
      <c r="K80"/>
      <c r="L80"/>
      <c r="M80"/>
      <c r="N80"/>
      <c r="O80"/>
    </row>
  </sheetData>
  <mergeCells count="1">
    <mergeCell ref="A1:C1"/>
  </mergeCells>
  <pageMargins left="0.7" right="0.7" top="0.75" bottom="0.75" header="0.3" footer="0.3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Start">
          <controlPr defaultSize="0" autoLine="0" r:id="rId5">
            <anchor moveWithCells="1">
              <from>
                <xdr:col>3</xdr:col>
                <xdr:colOff>333375</xdr:colOff>
                <xdr:row>12</xdr:row>
                <xdr:rowOff>152400</xdr:rowOff>
              </from>
              <to>
                <xdr:col>6</xdr:col>
                <xdr:colOff>600075</xdr:colOff>
                <xdr:row>15</xdr:row>
                <xdr:rowOff>180975</xdr:rowOff>
              </to>
            </anchor>
          </controlPr>
        </control>
      </mc:Choice>
      <mc:Fallback>
        <control shapeId="2053" r:id="rId4" name="cmdStart"/>
      </mc:Fallback>
    </mc:AlternateContent>
    <mc:AlternateContent xmlns:mc="http://schemas.openxmlformats.org/markup-compatibility/2006">
      <mc:Choice Requires="x14">
        <control shapeId="2049" r:id="rId6" name="cmdBegin">
          <controlPr defaultSize="0" autoLine="0" r:id="rId7">
            <anchor moveWithCells="1">
              <from>
                <xdr:col>7</xdr:col>
                <xdr:colOff>142875</xdr:colOff>
                <xdr:row>7</xdr:row>
                <xdr:rowOff>85725</xdr:rowOff>
              </from>
              <to>
                <xdr:col>11</xdr:col>
                <xdr:colOff>571500</xdr:colOff>
                <xdr:row>10</xdr:row>
                <xdr:rowOff>161925</xdr:rowOff>
              </to>
            </anchor>
          </controlPr>
        </control>
      </mc:Choice>
      <mc:Fallback>
        <control shapeId="2049" r:id="rId6" name="cmdBe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selection activeCell="C12" sqref="C12"/>
    </sheetView>
  </sheetViews>
  <sheetFormatPr defaultRowHeight="15" x14ac:dyDescent="0.25"/>
  <cols>
    <col min="1" max="1" width="2.85546875" style="2" bestFit="1" customWidth="1"/>
    <col min="2" max="2" width="11.140625" style="2" bestFit="1" customWidth="1"/>
    <col min="3" max="3" width="12.7109375" style="2" bestFit="1" customWidth="1"/>
    <col min="4" max="16384" width="9.140625" style="2"/>
  </cols>
  <sheetData>
    <row r="1" spans="1:8" ht="15.75" thickBot="1" x14ac:dyDescent="0.3">
      <c r="A1" s="4" t="s">
        <v>6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</row>
    <row r="2" spans="1:8" ht="15.75" thickBot="1" x14ac:dyDescent="0.3">
      <c r="A2" s="6">
        <v>1</v>
      </c>
      <c r="B2" s="16" t="s">
        <v>14</v>
      </c>
      <c r="C2" s="7" t="s">
        <v>15</v>
      </c>
      <c r="D2" s="7">
        <v>8</v>
      </c>
      <c r="E2" s="7">
        <v>5</v>
      </c>
      <c r="F2" s="7">
        <v>17</v>
      </c>
      <c r="G2" s="7">
        <v>100</v>
      </c>
      <c r="H2" s="7">
        <v>400</v>
      </c>
    </row>
    <row r="3" spans="1:8" ht="15.75" thickBot="1" x14ac:dyDescent="0.3">
      <c r="A3" s="6">
        <v>2</v>
      </c>
      <c r="B3" s="16" t="s">
        <v>16</v>
      </c>
      <c r="C3" s="7" t="s">
        <v>15</v>
      </c>
      <c r="D3" s="7">
        <v>10</v>
      </c>
      <c r="E3" s="7">
        <v>7</v>
      </c>
      <c r="F3" s="7">
        <v>13</v>
      </c>
      <c r="G3" s="7">
        <v>250</v>
      </c>
      <c r="H3" s="7">
        <v>400</v>
      </c>
    </row>
    <row r="4" spans="1:8" ht="15.75" thickBot="1" x14ac:dyDescent="0.3">
      <c r="A4" s="6">
        <v>3</v>
      </c>
      <c r="B4" s="16" t="s">
        <v>17</v>
      </c>
      <c r="C4" s="7">
        <v>1</v>
      </c>
      <c r="D4" s="7">
        <v>5</v>
      </c>
      <c r="E4" s="7">
        <v>3</v>
      </c>
      <c r="F4" s="7">
        <v>7</v>
      </c>
      <c r="G4" s="7">
        <v>400</v>
      </c>
      <c r="H4" s="7">
        <v>800</v>
      </c>
    </row>
    <row r="5" spans="1:8" ht="15.75" thickBot="1" x14ac:dyDescent="0.3">
      <c r="A5" s="6">
        <v>4</v>
      </c>
      <c r="B5" s="16" t="s">
        <v>18</v>
      </c>
      <c r="C5" s="7">
        <v>1</v>
      </c>
      <c r="D5" s="7">
        <v>3</v>
      </c>
      <c r="E5" s="7">
        <v>1</v>
      </c>
      <c r="F5" s="7">
        <v>5</v>
      </c>
      <c r="G5" s="7">
        <v>200</v>
      </c>
      <c r="H5" s="7">
        <v>400</v>
      </c>
    </row>
    <row r="6" spans="1:8" ht="15.75" thickBot="1" x14ac:dyDescent="0.3">
      <c r="A6" s="6">
        <v>5</v>
      </c>
      <c r="B6" s="16" t="s">
        <v>19</v>
      </c>
      <c r="C6" s="7" t="s">
        <v>20</v>
      </c>
      <c r="D6" s="7">
        <v>6</v>
      </c>
      <c r="E6" s="7">
        <v>4</v>
      </c>
      <c r="F6" s="7">
        <v>8</v>
      </c>
      <c r="G6" s="7">
        <v>150</v>
      </c>
      <c r="H6" s="7">
        <v>300</v>
      </c>
    </row>
    <row r="7" spans="1:8" ht="15.75" thickBot="1" x14ac:dyDescent="0.3">
      <c r="A7" s="6">
        <v>6</v>
      </c>
      <c r="B7" s="16" t="s">
        <v>21</v>
      </c>
      <c r="C7" s="7" t="s">
        <v>20</v>
      </c>
      <c r="D7" s="7">
        <v>3</v>
      </c>
      <c r="E7" s="7">
        <v>3</v>
      </c>
      <c r="F7" s="7">
        <v>3</v>
      </c>
      <c r="G7" s="7">
        <v>100</v>
      </c>
      <c r="H7" s="7">
        <v>100</v>
      </c>
    </row>
    <row r="8" spans="1:8" ht="15.75" thickBot="1" x14ac:dyDescent="0.3">
      <c r="A8" s="6">
        <v>7</v>
      </c>
      <c r="B8" s="16" t="s">
        <v>22</v>
      </c>
      <c r="C8" s="7" t="s">
        <v>23</v>
      </c>
      <c r="D8" s="7">
        <v>4</v>
      </c>
      <c r="E8" s="7">
        <v>3</v>
      </c>
      <c r="F8" s="7">
        <v>5</v>
      </c>
      <c r="G8" s="7">
        <v>300</v>
      </c>
      <c r="H8" s="7">
        <v>500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9</xdr:col>
                <xdr:colOff>38100</xdr:colOff>
                <xdr:row>3</xdr:row>
                <xdr:rowOff>114300</xdr:rowOff>
              </from>
              <to>
                <xdr:col>11</xdr:col>
                <xdr:colOff>28575</xdr:colOff>
                <xdr:row>5</xdr:row>
                <xdr:rowOff>95250</xdr:rowOff>
              </to>
            </anchor>
          </controlPr>
        </control>
      </mc:Choice>
      <mc:Fallback>
        <control shapeId="3075" r:id="rId3" name="CommandButton1"/>
      </mc:Fallback>
    </mc:AlternateContent>
    <mc:AlternateContent xmlns:mc="http://schemas.openxmlformats.org/markup-compatibility/2006">
      <mc:Choice Requires="x14">
        <control shapeId="3073" r:id="rId5" name="cmdExit">
          <controlPr defaultSize="0" autoLine="0" r:id="rId6">
            <anchor moveWithCells="1">
              <from>
                <xdr:col>9</xdr:col>
                <xdr:colOff>28575</xdr:colOff>
                <xdr:row>6</xdr:row>
                <xdr:rowOff>38100</xdr:rowOff>
              </from>
              <to>
                <xdr:col>11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073" r:id="rId5" name="cmdExit"/>
      </mc:Fallback>
    </mc:AlternateContent>
    <mc:AlternateContent xmlns:mc="http://schemas.openxmlformats.org/markup-compatibility/2006">
      <mc:Choice Requires="x14">
        <control shapeId="3074" r:id="rId7" name="cmdNext">
          <controlPr defaultSize="0" autoLine="0" r:id="rId8">
            <anchor moveWithCells="1">
              <from>
                <xdr:col>9</xdr:col>
                <xdr:colOff>38100</xdr:colOff>
                <xdr:row>1</xdr:row>
                <xdr:rowOff>28575</xdr:rowOff>
              </from>
              <to>
                <xdr:col>11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3074" r:id="rId7" name="cmdNex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zoomScale="115" zoomScaleNormal="115" workbookViewId="0">
      <selection activeCell="G8" sqref="G8"/>
    </sheetView>
  </sheetViews>
  <sheetFormatPr defaultRowHeight="15" x14ac:dyDescent="0.25"/>
  <cols>
    <col min="1" max="1" width="7.7109375" bestFit="1" customWidth="1"/>
    <col min="2" max="2" width="6" bestFit="1" customWidth="1"/>
    <col min="3" max="3" width="4.28515625" customWidth="1"/>
    <col min="4" max="4" width="5.42578125" bestFit="1" customWidth="1"/>
  </cols>
  <sheetData/>
  <pageMargins left="0.7" right="0.7" top="0.75" bottom="0.75" header="0.3" footer="0.3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Exit2">
          <controlPr defaultSize="0" autoLine="0" r:id="rId5">
            <anchor moveWithCells="1">
              <from>
                <xdr:col>9</xdr:col>
                <xdr:colOff>438150</xdr:colOff>
                <xdr:row>3</xdr:row>
                <xdr:rowOff>95250</xdr:rowOff>
              </from>
              <to>
                <xdr:col>11</xdr:col>
                <xdr:colOff>428625</xdr:colOff>
                <xdr:row>5</xdr:row>
                <xdr:rowOff>85725</xdr:rowOff>
              </to>
            </anchor>
          </controlPr>
        </control>
      </mc:Choice>
      <mc:Fallback>
        <control shapeId="4097" r:id="rId4" name="cmdExit2"/>
      </mc:Fallback>
    </mc:AlternateContent>
    <mc:AlternateContent xmlns:mc="http://schemas.openxmlformats.org/markup-compatibility/2006">
      <mc:Choice Requires="x14">
        <control shapeId="4098" r:id="rId6" name="cmdNext2">
          <controlPr defaultSize="0" autoLine="0" r:id="rId7">
            <anchor moveWithCells="1">
              <from>
                <xdr:col>9</xdr:col>
                <xdr:colOff>447675</xdr:colOff>
                <xdr:row>1</xdr:row>
                <xdr:rowOff>9525</xdr:rowOff>
              </from>
              <to>
                <xdr:col>11</xdr:col>
                <xdr:colOff>438150</xdr:colOff>
                <xdr:row>3</xdr:row>
                <xdr:rowOff>0</xdr:rowOff>
              </to>
            </anchor>
          </controlPr>
        </control>
      </mc:Choice>
      <mc:Fallback>
        <control shapeId="4098" r:id="rId6" name="cmdNext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F1:AJ11"/>
  <sheetViews>
    <sheetView workbookViewId="0">
      <selection activeCell="K11" sqref="K11"/>
    </sheetView>
  </sheetViews>
  <sheetFormatPr defaultRowHeight="15" x14ac:dyDescent="0.25"/>
  <cols>
    <col min="1" max="5" width="9.140625" style="3"/>
    <col min="6" max="6" width="8.7109375" style="3" customWidth="1"/>
    <col min="7" max="7" width="6.42578125" style="3" customWidth="1"/>
    <col min="8" max="8" width="6.5703125" style="3" customWidth="1"/>
    <col min="9" max="9" width="5.42578125" style="3" customWidth="1"/>
    <col min="10" max="11" width="7" style="3" customWidth="1"/>
    <col min="12" max="13" width="9.140625" style="3"/>
    <col min="14" max="14" width="3.7109375" style="3" customWidth="1"/>
    <col min="15" max="22" width="2" style="3" customWidth="1"/>
    <col min="23" max="36" width="3" style="3" customWidth="1"/>
    <col min="37" max="16384" width="9.140625" style="3"/>
  </cols>
  <sheetData>
    <row r="1" spans="6:36" ht="15.75" thickBot="1" x14ac:dyDescent="0.3">
      <c r="F1" s="3" t="s">
        <v>4</v>
      </c>
    </row>
    <row r="2" spans="6:36" ht="15.75" thickBot="1" x14ac:dyDescent="0.3">
      <c r="F2" s="4" t="s">
        <v>0</v>
      </c>
      <c r="G2" s="14" t="s">
        <v>1</v>
      </c>
      <c r="H2" s="5"/>
      <c r="I2" s="14" t="s">
        <v>2</v>
      </c>
      <c r="J2" s="5"/>
      <c r="K2" s="5" t="s">
        <v>3</v>
      </c>
      <c r="M2" s="8" t="s">
        <v>5</v>
      </c>
      <c r="N2" s="9">
        <v>1</v>
      </c>
      <c r="O2" s="9">
        <v>2</v>
      </c>
      <c r="P2" s="9">
        <v>3</v>
      </c>
      <c r="Q2" s="9">
        <v>4</v>
      </c>
      <c r="R2" s="9">
        <v>5</v>
      </c>
      <c r="S2" s="9">
        <v>6</v>
      </c>
      <c r="T2" s="9">
        <v>7</v>
      </c>
      <c r="U2" s="9">
        <v>8</v>
      </c>
      <c r="V2" s="9">
        <v>9</v>
      </c>
      <c r="W2" s="9">
        <v>10</v>
      </c>
      <c r="X2" s="9">
        <v>11</v>
      </c>
      <c r="Y2" s="9">
        <v>12</v>
      </c>
      <c r="Z2" s="9">
        <v>13</v>
      </c>
      <c r="AA2" s="9">
        <v>14</v>
      </c>
      <c r="AB2" s="9">
        <v>15</v>
      </c>
      <c r="AC2" s="9">
        <v>16</v>
      </c>
      <c r="AD2" s="9">
        <v>17</v>
      </c>
      <c r="AE2" s="9">
        <v>18</v>
      </c>
      <c r="AF2" s="9">
        <v>19</v>
      </c>
      <c r="AG2" s="9">
        <v>20</v>
      </c>
      <c r="AH2" s="9">
        <v>21</v>
      </c>
      <c r="AI2" s="9">
        <v>22</v>
      </c>
      <c r="AJ2" s="9">
        <v>23</v>
      </c>
    </row>
    <row r="3" spans="6:36" ht="15.75" thickBot="1" x14ac:dyDescent="0.3">
      <c r="F3" s="6">
        <v>0</v>
      </c>
      <c r="G3" s="7">
        <v>0</v>
      </c>
      <c r="H3" s="7">
        <v>0</v>
      </c>
      <c r="I3" s="7">
        <v>0</v>
      </c>
      <c r="J3" s="7">
        <v>0</v>
      </c>
      <c r="K3" s="7">
        <v>1</v>
      </c>
      <c r="M3" s="10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6:36" ht="15.75" thickBot="1" x14ac:dyDescent="0.3">
      <c r="F4" s="6">
        <v>1</v>
      </c>
      <c r="G4" s="7">
        <v>0</v>
      </c>
      <c r="H4" s="7">
        <v>8</v>
      </c>
      <c r="I4" s="7">
        <v>0</v>
      </c>
      <c r="J4" s="7">
        <v>8</v>
      </c>
      <c r="K4" s="7">
        <v>1</v>
      </c>
      <c r="M4" s="10">
        <v>2</v>
      </c>
      <c r="N4" s="13">
        <v>2</v>
      </c>
      <c r="O4" s="13">
        <v>2</v>
      </c>
      <c r="P4" s="13">
        <v>2</v>
      </c>
      <c r="Q4" s="13">
        <v>2</v>
      </c>
      <c r="R4" s="13">
        <v>2</v>
      </c>
      <c r="S4" s="13">
        <v>2</v>
      </c>
      <c r="T4" s="13">
        <v>2</v>
      </c>
      <c r="U4" s="13">
        <v>2</v>
      </c>
      <c r="V4" s="13">
        <v>2</v>
      </c>
      <c r="W4" s="13">
        <v>2</v>
      </c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6:36" ht="15.75" thickBot="1" x14ac:dyDescent="0.3">
      <c r="F5" s="6">
        <v>2</v>
      </c>
      <c r="G5" s="7">
        <v>0</v>
      </c>
      <c r="H5" s="7">
        <v>10</v>
      </c>
      <c r="I5" s="7">
        <v>3</v>
      </c>
      <c r="J5" s="7">
        <v>13</v>
      </c>
      <c r="K5" s="7">
        <v>0</v>
      </c>
      <c r="M5" s="10">
        <v>3</v>
      </c>
      <c r="N5" s="12"/>
      <c r="O5" s="12"/>
      <c r="P5" s="12"/>
      <c r="Q5" s="12"/>
      <c r="R5" s="12"/>
      <c r="S5" s="12"/>
      <c r="T5" s="12"/>
      <c r="U5" s="12"/>
      <c r="V5" s="11">
        <v>1</v>
      </c>
      <c r="W5" s="11">
        <v>1</v>
      </c>
      <c r="X5" s="11">
        <v>1</v>
      </c>
      <c r="Y5" s="11">
        <v>1</v>
      </c>
      <c r="Z5" s="11">
        <v>1</v>
      </c>
      <c r="AA5" s="12"/>
      <c r="AB5" s="12"/>
      <c r="AC5" s="12"/>
      <c r="AD5" s="12"/>
      <c r="AE5" s="12"/>
      <c r="AF5" s="12"/>
      <c r="AG5" s="12"/>
      <c r="AH5" s="12"/>
      <c r="AI5" s="12"/>
      <c r="AJ5" s="12"/>
    </row>
    <row r="6" spans="6:36" ht="15.75" thickBot="1" x14ac:dyDescent="0.3">
      <c r="F6" s="6">
        <v>3</v>
      </c>
      <c r="G6" s="7">
        <v>8</v>
      </c>
      <c r="H6" s="7">
        <v>13</v>
      </c>
      <c r="I6" s="7">
        <v>8</v>
      </c>
      <c r="J6" s="7">
        <v>13</v>
      </c>
      <c r="K6" s="7">
        <v>1</v>
      </c>
      <c r="M6" s="10">
        <v>4</v>
      </c>
      <c r="N6" s="12"/>
      <c r="O6" s="12"/>
      <c r="P6" s="12"/>
      <c r="Q6" s="12"/>
      <c r="R6" s="12"/>
      <c r="S6" s="12"/>
      <c r="T6" s="12"/>
      <c r="U6" s="12"/>
      <c r="V6" s="13">
        <v>2</v>
      </c>
      <c r="W6" s="13">
        <v>2</v>
      </c>
      <c r="X6" s="13">
        <v>2</v>
      </c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</row>
    <row r="7" spans="6:36" ht="15.75" thickBot="1" x14ac:dyDescent="0.3">
      <c r="F7" s="6">
        <v>4</v>
      </c>
      <c r="G7" s="7">
        <v>8</v>
      </c>
      <c r="H7" s="7">
        <v>11</v>
      </c>
      <c r="I7" s="7">
        <v>16</v>
      </c>
      <c r="J7" s="7">
        <v>19</v>
      </c>
      <c r="K7" s="7">
        <v>0</v>
      </c>
      <c r="M7" s="10">
        <v>5</v>
      </c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1">
        <v>1</v>
      </c>
      <c r="AB7" s="11">
        <v>1</v>
      </c>
      <c r="AC7" s="11">
        <v>1</v>
      </c>
      <c r="AD7" s="11">
        <v>1</v>
      </c>
      <c r="AE7" s="11">
        <v>1</v>
      </c>
      <c r="AF7" s="11">
        <v>1</v>
      </c>
      <c r="AG7" s="12"/>
      <c r="AH7" s="12"/>
      <c r="AI7" s="12"/>
      <c r="AJ7" s="12"/>
    </row>
    <row r="8" spans="6:36" ht="15.75" thickBot="1" x14ac:dyDescent="0.3">
      <c r="F8" s="6">
        <v>5</v>
      </c>
      <c r="G8" s="7">
        <v>13</v>
      </c>
      <c r="H8" s="7">
        <v>19</v>
      </c>
      <c r="I8" s="7">
        <v>13</v>
      </c>
      <c r="J8" s="7">
        <v>19</v>
      </c>
      <c r="K8" s="7">
        <v>1</v>
      </c>
      <c r="M8" s="10">
        <v>6</v>
      </c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3">
        <v>2</v>
      </c>
      <c r="AB8" s="13">
        <v>2</v>
      </c>
      <c r="AC8" s="13">
        <v>2</v>
      </c>
      <c r="AD8" s="12"/>
      <c r="AE8" s="12"/>
      <c r="AF8" s="12"/>
      <c r="AG8" s="12"/>
      <c r="AH8" s="12"/>
      <c r="AI8" s="12"/>
      <c r="AJ8" s="12"/>
    </row>
    <row r="9" spans="6:36" ht="15.75" thickBot="1" x14ac:dyDescent="0.3">
      <c r="F9" s="6">
        <v>6</v>
      </c>
      <c r="G9" s="7">
        <v>13</v>
      </c>
      <c r="H9" s="7">
        <v>16</v>
      </c>
      <c r="I9" s="7">
        <v>20</v>
      </c>
      <c r="J9" s="7">
        <v>23</v>
      </c>
      <c r="K9" s="7">
        <v>0</v>
      </c>
      <c r="M9" s="10">
        <v>7</v>
      </c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1">
        <v>1</v>
      </c>
      <c r="AH9" s="11">
        <v>1</v>
      </c>
      <c r="AI9" s="11">
        <v>1</v>
      </c>
      <c r="AJ9" s="11">
        <v>1</v>
      </c>
    </row>
    <row r="10" spans="6:36" ht="15.75" thickBot="1" x14ac:dyDescent="0.3">
      <c r="F10" s="6">
        <v>7</v>
      </c>
      <c r="G10" s="7">
        <v>19</v>
      </c>
      <c r="H10" s="7">
        <v>23</v>
      </c>
      <c r="I10" s="7">
        <v>19</v>
      </c>
      <c r="J10" s="7">
        <v>23</v>
      </c>
      <c r="K10" s="7">
        <v>1</v>
      </c>
    </row>
    <row r="11" spans="6:36" ht="15.75" thickBot="1" x14ac:dyDescent="0.3">
      <c r="F11" s="6">
        <v>8</v>
      </c>
      <c r="G11" s="7">
        <v>23</v>
      </c>
      <c r="H11" s="7">
        <v>23</v>
      </c>
      <c r="I11" s="7">
        <v>23</v>
      </c>
      <c r="J11" s="7">
        <v>23</v>
      </c>
      <c r="K11" s="7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Exit3">
          <controlPr defaultSize="0" autoLine="0" r:id="rId4">
            <anchor moveWithCells="1">
              <from>
                <xdr:col>0</xdr:col>
                <xdr:colOff>85725</xdr:colOff>
                <xdr:row>0</xdr:row>
                <xdr:rowOff>66675</xdr:rowOff>
              </from>
              <to>
                <xdr:col>2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5121" r:id="rId3" name="cmdExit3"/>
      </mc:Fallback>
    </mc:AlternateContent>
    <mc:AlternateContent xmlns:mc="http://schemas.openxmlformats.org/markup-compatibility/2006">
      <mc:Choice Requires="x14">
        <control shapeId="5122" r:id="rId5" name="cmdNext3">
          <controlPr defaultSize="0" autoLine="0" r:id="rId6">
            <anchor moveWithCells="1">
              <from>
                <xdr:col>2</xdr:col>
                <xdr:colOff>247650</xdr:colOff>
                <xdr:row>0</xdr:row>
                <xdr:rowOff>66675</xdr:rowOff>
              </from>
              <to>
                <xdr:col>4</xdr:col>
                <xdr:colOff>238125</xdr:colOff>
                <xdr:row>2</xdr:row>
                <xdr:rowOff>38100</xdr:rowOff>
              </to>
            </anchor>
          </controlPr>
        </control>
      </mc:Choice>
      <mc:Fallback>
        <control shapeId="5122" r:id="rId5" name="cmdNext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11"/>
  <sheetViews>
    <sheetView workbookViewId="0">
      <selection activeCell="W8" sqref="W8"/>
    </sheetView>
  </sheetViews>
  <sheetFormatPr defaultRowHeight="15" x14ac:dyDescent="0.25"/>
  <cols>
    <col min="1" max="1" width="7.7109375" style="15" bestFit="1" customWidth="1"/>
    <col min="2" max="2" width="6" style="15" bestFit="1" customWidth="1"/>
    <col min="3" max="3" width="4.28515625" style="15" bestFit="1" customWidth="1"/>
    <col min="4" max="4" width="5.42578125" style="15" bestFit="1" customWidth="1"/>
    <col min="5" max="5" width="2.7109375" style="15" bestFit="1" customWidth="1"/>
    <col min="6" max="6" width="2" style="15" bestFit="1" customWidth="1"/>
    <col min="7" max="7" width="2.7109375" style="15" bestFit="1" customWidth="1"/>
    <col min="8" max="8" width="2" style="15" bestFit="1" customWidth="1"/>
    <col min="9" max="9" width="2.7109375" style="15" bestFit="1" customWidth="1"/>
    <col min="10" max="10" width="2" style="15" bestFit="1" customWidth="1"/>
    <col min="11" max="11" width="2.7109375" style="15" bestFit="1" customWidth="1"/>
    <col min="12" max="12" width="2" style="15" bestFit="1" customWidth="1"/>
    <col min="13" max="13" width="2.7109375" style="15" bestFit="1" customWidth="1"/>
    <col min="14" max="22" width="3" style="15" bestFit="1" customWidth="1"/>
    <col min="24" max="24" width="11" bestFit="1" customWidth="1"/>
    <col min="25" max="26" width="3" bestFit="1" customWidth="1"/>
  </cols>
  <sheetData>
    <row r="1" spans="1:26" x14ac:dyDescent="0.25">
      <c r="A1" s="23" t="s">
        <v>24</v>
      </c>
      <c r="B1" s="23"/>
      <c r="C1" s="23"/>
      <c r="D1" s="23"/>
      <c r="E1" s="17">
        <v>1</v>
      </c>
      <c r="F1" s="17">
        <v>2</v>
      </c>
      <c r="G1" s="17">
        <v>3</v>
      </c>
      <c r="H1" s="17">
        <v>4</v>
      </c>
      <c r="I1" s="17">
        <v>5</v>
      </c>
      <c r="J1" s="17">
        <v>6</v>
      </c>
      <c r="K1" s="17">
        <v>7</v>
      </c>
      <c r="L1" s="17">
        <v>8</v>
      </c>
      <c r="M1" s="17">
        <v>9</v>
      </c>
      <c r="N1" s="17">
        <v>10</v>
      </c>
      <c r="O1" s="17">
        <v>11</v>
      </c>
      <c r="P1" s="17">
        <v>12</v>
      </c>
      <c r="Q1" s="17">
        <v>13</v>
      </c>
      <c r="R1" s="17">
        <v>14</v>
      </c>
      <c r="S1" s="17">
        <v>15</v>
      </c>
      <c r="T1" s="17">
        <v>16</v>
      </c>
      <c r="U1" s="17">
        <v>17</v>
      </c>
      <c r="V1" s="17">
        <v>18</v>
      </c>
    </row>
    <row r="2" spans="1:26" s="19" customFormat="1" x14ac:dyDescent="0.25">
      <c r="A2" s="17" t="s">
        <v>5</v>
      </c>
      <c r="B2" s="17" t="s">
        <v>25</v>
      </c>
      <c r="C2" s="17" t="s">
        <v>26</v>
      </c>
      <c r="D2" s="17" t="s">
        <v>27</v>
      </c>
      <c r="E2" s="18">
        <v>53687091.200000003</v>
      </c>
      <c r="F2" s="18">
        <v>80530636.800000012</v>
      </c>
      <c r="G2" s="18">
        <v>53687091.200000003</v>
      </c>
      <c r="H2" s="18">
        <v>80530644.800000012</v>
      </c>
      <c r="I2" s="18">
        <v>53687091.200000003</v>
      </c>
      <c r="J2" s="18">
        <v>80530646.800000012</v>
      </c>
      <c r="K2" s="18">
        <v>53687091.200000003</v>
      </c>
      <c r="L2" s="18">
        <v>80530641.800000012</v>
      </c>
      <c r="M2" s="18">
        <v>53687091.200000003</v>
      </c>
      <c r="N2" s="18">
        <v>80530639.800000012</v>
      </c>
      <c r="O2" s="18">
        <v>53687091.200000003</v>
      </c>
      <c r="P2" s="18">
        <v>80530642.800000012</v>
      </c>
      <c r="Q2" s="18">
        <v>53687091.200000003</v>
      </c>
      <c r="R2" s="18">
        <v>80530639.800000012</v>
      </c>
      <c r="S2" s="18">
        <v>53687091.200000003</v>
      </c>
      <c r="T2" s="18">
        <v>80530640.800000012</v>
      </c>
      <c r="U2" s="18">
        <v>0</v>
      </c>
      <c r="V2" s="18">
        <v>0</v>
      </c>
      <c r="W2"/>
      <c r="X2" s="19">
        <f>SUM(E2:V2)</f>
        <v>1073741863</v>
      </c>
    </row>
    <row r="3" spans="1:26" x14ac:dyDescent="0.25">
      <c r="A3" s="17">
        <v>0</v>
      </c>
      <c r="B3" s="17">
        <v>1</v>
      </c>
      <c r="C3" s="17">
        <v>2</v>
      </c>
      <c r="D3" s="17">
        <v>0</v>
      </c>
      <c r="E3" s="17">
        <v>-1</v>
      </c>
      <c r="F3" s="17">
        <v>1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X3">
        <f t="shared" ref="X3:X11" si="0">SUMPRODUCT(E$2:V$2,E3:V3)</f>
        <v>26843545.600000009</v>
      </c>
      <c r="Y3" t="s">
        <v>28</v>
      </c>
      <c r="Z3">
        <f t="shared" ref="Z3:Z11" si="1">D3</f>
        <v>0</v>
      </c>
    </row>
    <row r="4" spans="1:26" x14ac:dyDescent="0.25">
      <c r="A4" s="17">
        <v>1</v>
      </c>
      <c r="B4" s="17">
        <v>3</v>
      </c>
      <c r="C4" s="17">
        <v>4</v>
      </c>
      <c r="D4" s="17">
        <v>8</v>
      </c>
      <c r="E4" s="17"/>
      <c r="F4" s="17"/>
      <c r="G4" s="17">
        <v>-1</v>
      </c>
      <c r="H4" s="17">
        <v>1</v>
      </c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X4">
        <f t="shared" si="0"/>
        <v>26843553.600000009</v>
      </c>
      <c r="Y4" t="s">
        <v>28</v>
      </c>
      <c r="Z4">
        <f t="shared" si="1"/>
        <v>8</v>
      </c>
    </row>
    <row r="5" spans="1:26" x14ac:dyDescent="0.25">
      <c r="A5" s="17">
        <v>2</v>
      </c>
      <c r="B5" s="17">
        <v>5</v>
      </c>
      <c r="C5" s="17">
        <v>6</v>
      </c>
      <c r="D5" s="17">
        <v>10</v>
      </c>
      <c r="E5" s="17"/>
      <c r="F5" s="17"/>
      <c r="G5" s="17"/>
      <c r="H5" s="17"/>
      <c r="I5" s="17">
        <v>-1</v>
      </c>
      <c r="J5" s="17">
        <v>1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X5">
        <f t="shared" si="0"/>
        <v>26843555.600000009</v>
      </c>
      <c r="Y5" t="s">
        <v>28</v>
      </c>
      <c r="Z5">
        <f t="shared" si="1"/>
        <v>10</v>
      </c>
    </row>
    <row r="6" spans="1:26" x14ac:dyDescent="0.25">
      <c r="A6" s="17">
        <v>3</v>
      </c>
      <c r="B6" s="17">
        <v>7</v>
      </c>
      <c r="C6" s="17">
        <v>8</v>
      </c>
      <c r="D6" s="17">
        <v>5</v>
      </c>
      <c r="E6" s="17"/>
      <c r="F6" s="17"/>
      <c r="G6" s="17"/>
      <c r="H6" s="17"/>
      <c r="I6" s="17"/>
      <c r="J6" s="17"/>
      <c r="K6" s="17">
        <v>-1</v>
      </c>
      <c r="L6" s="17">
        <v>1</v>
      </c>
      <c r="M6" s="17"/>
      <c r="N6" s="17"/>
      <c r="O6" s="17"/>
      <c r="P6" s="17"/>
      <c r="Q6" s="17"/>
      <c r="R6" s="17"/>
      <c r="S6" s="17"/>
      <c r="T6" s="17"/>
      <c r="U6" s="17"/>
      <c r="V6" s="17"/>
      <c r="X6">
        <f t="shared" si="0"/>
        <v>26843550.600000009</v>
      </c>
      <c r="Y6" t="s">
        <v>28</v>
      </c>
      <c r="Z6">
        <f t="shared" si="1"/>
        <v>5</v>
      </c>
    </row>
    <row r="7" spans="1:26" x14ac:dyDescent="0.25">
      <c r="A7" s="17">
        <v>4</v>
      </c>
      <c r="B7" s="17">
        <v>9</v>
      </c>
      <c r="C7" s="17">
        <v>10</v>
      </c>
      <c r="D7" s="17">
        <v>3</v>
      </c>
      <c r="E7" s="17"/>
      <c r="F7" s="17"/>
      <c r="G7" s="17"/>
      <c r="H7" s="17"/>
      <c r="I7" s="17"/>
      <c r="J7" s="17"/>
      <c r="K7" s="17"/>
      <c r="L7" s="17"/>
      <c r="M7" s="17">
        <v>-1</v>
      </c>
      <c r="N7" s="17">
        <v>1</v>
      </c>
      <c r="O7" s="17"/>
      <c r="P7" s="17"/>
      <c r="Q7" s="17"/>
      <c r="R7" s="17"/>
      <c r="S7" s="17"/>
      <c r="T7" s="17"/>
      <c r="U7" s="17"/>
      <c r="V7" s="17"/>
      <c r="X7">
        <f t="shared" si="0"/>
        <v>26843548.600000009</v>
      </c>
      <c r="Y7" t="s">
        <v>28</v>
      </c>
      <c r="Z7">
        <f t="shared" si="1"/>
        <v>3</v>
      </c>
    </row>
    <row r="8" spans="1:26" x14ac:dyDescent="0.25">
      <c r="A8" s="17">
        <v>5</v>
      </c>
      <c r="B8" s="17">
        <v>11</v>
      </c>
      <c r="C8" s="17">
        <v>12</v>
      </c>
      <c r="D8" s="17">
        <v>6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>
        <v>-1</v>
      </c>
      <c r="P8" s="17">
        <v>1</v>
      </c>
      <c r="Q8" s="17"/>
      <c r="R8" s="17"/>
      <c r="S8" s="17"/>
      <c r="T8" s="17"/>
      <c r="U8" s="17"/>
      <c r="V8" s="17"/>
      <c r="X8">
        <f t="shared" si="0"/>
        <v>26843551.600000009</v>
      </c>
      <c r="Y8" t="s">
        <v>28</v>
      </c>
      <c r="Z8">
        <f t="shared" si="1"/>
        <v>6</v>
      </c>
    </row>
    <row r="9" spans="1:26" x14ac:dyDescent="0.25">
      <c r="A9" s="17">
        <v>6</v>
      </c>
      <c r="B9" s="17">
        <v>13</v>
      </c>
      <c r="C9" s="17">
        <v>14</v>
      </c>
      <c r="D9" s="17">
        <v>3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>
        <v>-1</v>
      </c>
      <c r="R9" s="17">
        <v>1</v>
      </c>
      <c r="S9" s="17"/>
      <c r="T9" s="17"/>
      <c r="U9" s="17"/>
      <c r="V9" s="17"/>
      <c r="X9">
        <f t="shared" si="0"/>
        <v>26843548.600000009</v>
      </c>
      <c r="Y9" t="s">
        <v>28</v>
      </c>
      <c r="Z9">
        <f t="shared" si="1"/>
        <v>3</v>
      </c>
    </row>
    <row r="10" spans="1:26" x14ac:dyDescent="0.25">
      <c r="A10" s="17">
        <v>7</v>
      </c>
      <c r="B10" s="17">
        <v>15</v>
      </c>
      <c r="C10" s="17">
        <v>16</v>
      </c>
      <c r="D10" s="17">
        <v>4</v>
      </c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>
        <v>-1</v>
      </c>
      <c r="T10" s="17">
        <v>1</v>
      </c>
      <c r="U10" s="17"/>
      <c r="V10" s="17"/>
      <c r="X10">
        <f t="shared" si="0"/>
        <v>26843549.600000009</v>
      </c>
      <c r="Y10" t="s">
        <v>28</v>
      </c>
      <c r="Z10">
        <f t="shared" si="1"/>
        <v>4</v>
      </c>
    </row>
    <row r="11" spans="1:26" x14ac:dyDescent="0.25">
      <c r="A11" s="17">
        <v>8</v>
      </c>
      <c r="B11" s="17">
        <v>17</v>
      </c>
      <c r="C11" s="17">
        <v>18</v>
      </c>
      <c r="D11" s="17">
        <v>0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>
        <v>-1</v>
      </c>
      <c r="V11" s="17">
        <v>1</v>
      </c>
      <c r="X11">
        <f t="shared" si="0"/>
        <v>0</v>
      </c>
      <c r="Y11" t="s">
        <v>28</v>
      </c>
      <c r="Z11">
        <f t="shared" si="1"/>
        <v>0</v>
      </c>
    </row>
  </sheetData>
  <mergeCells count="1">
    <mergeCell ref="A1:D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cmdExit4">
          <controlPr defaultSize="0" autoLine="0" r:id="rId5">
            <anchor moveWithCells="1">
              <from>
                <xdr:col>26</xdr:col>
                <xdr:colOff>523875</xdr:colOff>
                <xdr:row>8</xdr:row>
                <xdr:rowOff>0</xdr:rowOff>
              </from>
              <to>
                <xdr:col>28</xdr:col>
                <xdr:colOff>514350</xdr:colOff>
                <xdr:row>9</xdr:row>
                <xdr:rowOff>180975</xdr:rowOff>
              </to>
            </anchor>
          </controlPr>
        </control>
      </mc:Choice>
      <mc:Fallback>
        <control shapeId="6145" r:id="rId4" name="cmdExit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cols>
    <col min="1" max="1" width="2.85546875" style="20" customWidth="1"/>
    <col min="2" max="2" width="11.140625" style="20" bestFit="1" customWidth="1"/>
    <col min="3" max="3" width="12.7109375" style="20" bestFit="1" customWidth="1"/>
    <col min="4" max="4" width="9" style="20" bestFit="1" customWidth="1"/>
    <col min="5" max="5" width="8.28515625" style="20" bestFit="1" customWidth="1"/>
    <col min="6" max="7" width="8.42578125" style="20" bestFit="1" customWidth="1"/>
    <col min="8" max="8" width="7.7109375" style="20" bestFit="1" customWidth="1"/>
  </cols>
  <sheetData>
    <row r="1" spans="1:8" x14ac:dyDescent="0.25">
      <c r="A1" s="20" t="s">
        <v>6</v>
      </c>
      <c r="B1" s="20" t="s">
        <v>7</v>
      </c>
      <c r="C1" s="20" t="s">
        <v>8</v>
      </c>
      <c r="D1" s="20" t="s">
        <v>9</v>
      </c>
      <c r="E1" s="20" t="s">
        <v>10</v>
      </c>
      <c r="F1" s="20" t="s">
        <v>11</v>
      </c>
      <c r="G1" s="20" t="s">
        <v>12</v>
      </c>
      <c r="H1" s="20" t="s">
        <v>13</v>
      </c>
    </row>
    <row r="2" spans="1:8" x14ac:dyDescent="0.25">
      <c r="A2" s="20">
        <v>1</v>
      </c>
      <c r="B2" s="20" t="s">
        <v>14</v>
      </c>
      <c r="C2" s="20" t="s">
        <v>15</v>
      </c>
      <c r="D2" s="20">
        <v>8</v>
      </c>
      <c r="E2" s="20">
        <v>5</v>
      </c>
      <c r="F2" s="20">
        <v>17</v>
      </c>
      <c r="G2" s="20">
        <v>100</v>
      </c>
      <c r="H2" s="20">
        <v>400</v>
      </c>
    </row>
    <row r="3" spans="1:8" x14ac:dyDescent="0.25">
      <c r="A3" s="20">
        <v>2</v>
      </c>
      <c r="B3" s="20" t="s">
        <v>16</v>
      </c>
      <c r="C3" s="20" t="s">
        <v>15</v>
      </c>
      <c r="D3" s="20">
        <v>10</v>
      </c>
      <c r="E3" s="20">
        <v>7</v>
      </c>
      <c r="F3" s="20">
        <v>13</v>
      </c>
      <c r="G3" s="20">
        <v>250</v>
      </c>
      <c r="H3" s="20">
        <v>400</v>
      </c>
    </row>
    <row r="4" spans="1:8" x14ac:dyDescent="0.25">
      <c r="A4" s="20">
        <v>3</v>
      </c>
      <c r="B4" s="20" t="s">
        <v>17</v>
      </c>
      <c r="C4" s="20">
        <v>1</v>
      </c>
      <c r="D4" s="20">
        <v>5</v>
      </c>
      <c r="E4" s="20">
        <v>3</v>
      </c>
      <c r="F4" s="20">
        <v>7</v>
      </c>
      <c r="G4" s="20">
        <v>400</v>
      </c>
      <c r="H4" s="20">
        <v>800</v>
      </c>
    </row>
    <row r="5" spans="1:8" x14ac:dyDescent="0.25">
      <c r="A5" s="20">
        <v>4</v>
      </c>
      <c r="B5" s="20" t="s">
        <v>18</v>
      </c>
      <c r="C5" s="20">
        <v>1</v>
      </c>
      <c r="D5" s="20">
        <v>3</v>
      </c>
      <c r="E5" s="20">
        <v>1</v>
      </c>
      <c r="F5" s="20">
        <v>5</v>
      </c>
      <c r="G5" s="20">
        <v>200</v>
      </c>
      <c r="H5" s="20">
        <v>400</v>
      </c>
    </row>
    <row r="6" spans="1:8" x14ac:dyDescent="0.25">
      <c r="A6" s="20">
        <v>5</v>
      </c>
      <c r="B6" s="20" t="s">
        <v>19</v>
      </c>
      <c r="C6" s="20" t="s">
        <v>20</v>
      </c>
      <c r="D6" s="20">
        <v>6</v>
      </c>
      <c r="E6" s="20">
        <v>4</v>
      </c>
      <c r="F6" s="20">
        <v>8</v>
      </c>
      <c r="G6" s="20">
        <v>150</v>
      </c>
      <c r="H6" s="20">
        <v>300</v>
      </c>
    </row>
    <row r="7" spans="1:8" x14ac:dyDescent="0.25">
      <c r="A7" s="20">
        <v>6</v>
      </c>
      <c r="B7" s="20" t="s">
        <v>21</v>
      </c>
      <c r="C7" s="20" t="s">
        <v>20</v>
      </c>
      <c r="D7" s="20">
        <v>3</v>
      </c>
      <c r="E7" s="20">
        <v>3</v>
      </c>
      <c r="F7" s="20">
        <v>3</v>
      </c>
      <c r="G7" s="20">
        <v>100</v>
      </c>
      <c r="H7" s="20">
        <v>100</v>
      </c>
    </row>
    <row r="8" spans="1:8" x14ac:dyDescent="0.25">
      <c r="A8" s="20">
        <v>7</v>
      </c>
      <c r="B8" s="20" t="s">
        <v>22</v>
      </c>
      <c r="C8" s="20" t="s">
        <v>23</v>
      </c>
      <c r="D8" s="20">
        <v>4</v>
      </c>
      <c r="E8" s="20">
        <v>3</v>
      </c>
      <c r="F8" s="20">
        <v>5</v>
      </c>
      <c r="G8" s="20">
        <v>300</v>
      </c>
      <c r="H8" s="20">
        <v>500</v>
      </c>
    </row>
    <row r="24" spans="2:2" x14ac:dyDescent="0.25">
      <c r="B24" s="2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Welcome</vt:lpstr>
      <vt:lpstr>Input</vt:lpstr>
      <vt:lpstr>Calculations</vt:lpstr>
      <vt:lpstr>Output</vt:lpstr>
      <vt:lpstr>SolverTable</vt:lpstr>
      <vt:lpstr>Main Table</vt:lpstr>
      <vt:lpstr>'Main Table'!activities_1</vt:lpstr>
      <vt:lpstr>'Main Table'!activities_2</vt:lpstr>
      <vt:lpstr>'Main Table'!activities_3</vt:lpstr>
      <vt:lpstr>'Main Table'!activities_4</vt:lpstr>
      <vt:lpstr>'Main Table'!activities_5</vt:lpstr>
      <vt:lpstr>'Main Table'!activities_6</vt:lpstr>
      <vt:lpstr>DecVar</vt:lpstr>
      <vt:lpstr>LHS</vt:lpstr>
      <vt:lpstr>ObjVal</vt:lpstr>
      <vt:lpstr>ProjComp</vt:lpstr>
      <vt:lpstr>Ptable</vt:lpstr>
      <vt:lpstr>RHS</vt:lpstr>
      <vt:lpstr>'Main Table'!Sheet1_5</vt:lpstr>
      <vt:lpstr>STable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</dc:creator>
  <cp:lastModifiedBy>use</cp:lastModifiedBy>
  <dcterms:created xsi:type="dcterms:W3CDTF">2013-11-05T23:24:33Z</dcterms:created>
  <dcterms:modified xsi:type="dcterms:W3CDTF">2013-12-12T20:32:07Z</dcterms:modified>
</cp:coreProperties>
</file>